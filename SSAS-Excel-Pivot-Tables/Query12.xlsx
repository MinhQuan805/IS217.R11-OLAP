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s\"/>
    </mc:Choice>
  </mc:AlternateContent>
  <xr:revisionPtr revIDLastSave="0" documentId="8_{98A0EDF8-E91B-4626-A744-0FAEDA2C68D1}" xr6:coauthVersionLast="47" xr6:coauthVersionMax="47" xr10:uidLastSave="{00000000-0000-0000-0000-000000000000}"/>
  <bookViews>
    <workbookView xWindow="-96" yWindow="-96" windowWidth="17472" windowHeight="10272" xr2:uid="{5FECAC9D-53BE-4DA0-8832-D9711F173188}"/>
  </bookViews>
  <sheets>
    <sheet name="tmp9FDD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2F9DDD-485B-46FF-BC14-9C30B95351CE}" odcFile="C:\Users\Admin\AppData\Local\Temp\tmp9FDD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sharedStrings.xml><?xml version="1.0" encoding="utf-8"?>
<sst xmlns="http://schemas.openxmlformats.org/spreadsheetml/2006/main" count="34" uniqueCount="33">
  <si>
    <t>Row Labels</t>
  </si>
  <si>
    <t>Chứng chỉ quốc tế</t>
  </si>
  <si>
    <t>Điểm Đánh giá đầu vào V-SAT</t>
  </si>
  <si>
    <t>Điểm ĐGNL HSA</t>
  </si>
  <si>
    <t>Điểm ĐGNL SP2E</t>
  </si>
  <si>
    <t>Điểm ĐGNL SPT</t>
  </si>
  <si>
    <t>Điểm ĐGNL V-ACT</t>
  </si>
  <si>
    <t>Điểm ĐGTD TSA</t>
  </si>
  <si>
    <t>Điểm học bạ</t>
  </si>
  <si>
    <t>Điểm thi riêng</t>
  </si>
  <si>
    <t>Điểm thi THPT</t>
  </si>
  <si>
    <t>Điểm xét tuyển kết hợp</t>
  </si>
  <si>
    <t>ƯTXT, XT thẳng</t>
  </si>
  <si>
    <t>Grand Total</t>
  </si>
  <si>
    <t>Column Labels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</si>
  <si>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</si>
  <si>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</si>
  <si>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</si>
  <si>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</si>
  <si>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</si>
  <si>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</si>
  <si>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</si>
  <si>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</si>
  <si>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</si>
  <si>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</si>
  <si>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</si>
  <si>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By Admission method Ratio</t>
  </si>
  <si>
    <t>2010</t>
  </si>
  <si>
    <t>2011</t>
  </si>
  <si>
    <t>2012</t>
  </si>
  <si>
    <t>2013</t>
  </si>
  <si>
    <t>2014</t>
  </si>
  <si>
    <t>Điểm ĐGNL H-SCA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</si>
</sst>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9.755962268522" backgroundQuery="1" createdVersion="8" refreshedVersion="8" minRefreshableVersion="3" recordCount="0" supportSubquery="1" supportAdvancedDrill="1" xr:uid="{B345E983-8683-47BE-9E3D-BDA853696C75}">
  <cacheSource type="external" connectionId="1"/>
  <cacheFields count="4">
    <cacheField name="[DIM ADMISSION METHOD].[ADMISSION METHOD NAME].[ADMISSION METHOD NAME]" caption="ADMISSION METHOD NAME" numFmtId="0" hierarchy="1" level="1">
      <sharedItems count="13">
        <s v="[DIM ADMISSION METHOD].[ADMISSION METHOD NAME].&amp;[Chứng chỉ quốc tế]" c="Chứng chỉ quốc tế"/>
        <s v="[DIM ADMISSION METHOD].[ADMISSION METHOD NAME].&amp;[Điểm Đánh giá đầu vào V-SAT]" c="Điểm Đánh giá đầu vào V-SAT"/>
        <s v="[DIM ADMISSION METHOD].[ADMISSION METHOD NAME].&amp;[Điểm ĐGNL HSA]" c="Điểm ĐGNL HSA"/>
        <s v="[DIM ADMISSION METHOD].[ADMISSION METHOD NAME].&amp;[Điểm ĐGNL H-SCA]" c="Điểm ĐGNL H-SCA"/>
        <s v="[DIM ADMISSION METHOD].[ADMISSION METHOD NAME].&amp;[Điểm ĐGNL SP2E]" c="Điểm ĐGNL SP2E"/>
        <s v="[DIM ADMISSION METHOD].[ADMISSION METHOD NAME].&amp;[Điểm ĐGNL SPT]" c="Điểm ĐGNL SPT"/>
        <s v="[DIM ADMISSION METHOD].[ADMISSION METHOD NAME].&amp;[Điểm ĐGNL V-ACT]" c="Điểm ĐGNL V-ACT"/>
        <s v="[DIM ADMISSION METHOD].[ADMISSION METHOD NAME].&amp;[Điểm ĐGTD TSA]" c="Điểm ĐGTD TSA"/>
        <s v="[DIM ADMISSION METHOD].[ADMISSION METHOD NAME].&amp;[Điểm học bạ]" c="Điểm học bạ"/>
        <s v="[DIM ADMISSION METHOD].[ADMISSION METHOD NAME].&amp;[Điểm thi riêng]" c="Điểm thi riêng"/>
        <s v="[DIM ADMISSION METHOD].[ADMISSION METHOD NAME].&amp;[Điểm thi THPT]" c="Điểm thi THPT"/>
        <s v="[DIM ADMISSION METHOD].[ADMISSION METHOD NAME].&amp;[Điểm xét tuyển kết hợp]" c="Điểm xét tuyển kết hợp"/>
        <s v="[DIM ADMISSION METHOD].[ADMISSION METHOD NAME].&amp;[ƯTXT, XT thẳng]" c="ƯTXT, XT thẳng"/>
      </sharedItems>
    </cacheField>
    <cacheField name="[DIM YEAR].[YEAR].[YEAR]" caption="YEAR" numFmtId="0" hierarchy="38" level="1" mappingCount="1">
      <sharedItems count="16">
        <s v="[DIM YEAR].[YEAR].&amp;[2010]" c="2010"/>
        <s v="[DIM YEAR].[YEAR].&amp;[2011]" c="2011"/>
        <s v="[DIM YEAR].[YEAR].&amp;[2012]" c="2012"/>
        <s v="[DIM YEAR].[YEAR].&amp;[2013]" c="2013"/>
        <s v="[DIM YEAR].[YEAR].&amp;[2014]" c="2014"/>
        <s v="[DIM YEAR].[YEAR].&amp;[2015]" c="2015"/>
        <s v="[DIM YEAR].[YEAR].&amp;[2016]" c="2016"/>
        <s v="[DIM YEAR].[YEAR].&amp;[2017]" c="2017"/>
        <s v="[DIM YEAR].[YEAR].&amp;[2018]" c="2018"/>
        <s v="[DIM YEAR].[YEAR].&amp;[2019]" c="2019"/>
        <s v="[DIM YEAR].[YEAR].&amp;[2020]" c="2020"/>
        <s v="[DIM YEAR].[YEAR].&amp;[2021]" c="2021"/>
        <s v="[DIM YEAR].[YEAR].&amp;[2022]" c="2022"/>
        <s v="[DIM YEAR].[YEAR].&amp;[2023]" c="2023"/>
        <s v="[DIM YEAR].[YEAR].&amp;[2024]" c="2024"/>
        <s v="[DIM YEAR].[YEAR].&amp;[2025]" c="2025"/>
      </sharedItems>
      <mpMap v="2"/>
    </cacheField>
    <cacheField name="[DIM YEAR].[YEAR].[YEAR].[DECADE]" caption="DECADE" propertyName="DECADE" numFmtId="0" hierarchy="38" level="1" memberPropertyField="1">
      <sharedItems count="2">
        <s v="2010s"/>
        <s v="2020s"/>
      </sharedItems>
    </cacheField>
    <cacheField name="[Measures].[By Admission method Ratio]" caption="By Admission method Ratio" numFmtId="0" hierarchy="60" level="32767"/>
  </cacheFields>
  <cacheHierarchies count="62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0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0" unbalanced="0"/>
    <cacheHierarchy uniqueName="[DIM PROGRAM].[Major - Program]" caption="Major - Program" defaultMemberUniqueName="[DIM PROGRAM].[Major - Program].[All]" allUniqueName="[DIM PROGRAM].[Major - Program].[All]" dimensionUniqueName="[DIM PROGRAM]" displayFolder="" count="0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0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0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0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0" unbalanced="0"/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2" unbalanced="0">
      <fieldsUsage count="2">
        <fieldUsage x="-1"/>
        <fieldUsage x="1"/>
      </fieldsUsage>
    </cacheHierarchy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Mean SCORE MARK]" caption="Mean SCORE MARK" measure="1" displayFolder="" count="0"/>
    <cacheHierarchy uniqueName="[Measures].[Diff SCORE MARK]" caption="Diff SCORE MARK" measure="1" displayFolder="" count="0"/>
    <cacheHierarchy uniqueName="[Measures].[YoY Mean SCORE MARK]" caption="YoY Mean SCORE MARK" measure="1" displayFolder="" count="0"/>
    <cacheHierarchy uniqueName="[Measures].[Score 2025]" caption="Score 2025" measure="1" displayFolder="" count="0"/>
    <cacheHierarchy uniqueName="[Measures].[Score 2024]" caption="Score 2024" measure="1" displayFolder="" count="0"/>
    <cacheHierarchy uniqueName="[Measures].[Diff 2025-2024]" caption="Diff 2025-2024" measure="1" displayFolder="" count="0"/>
    <cacheHierarchy uniqueName="[Measures].[Above 24 Count]" caption="Above 24 Count" measure="1" displayFolder="" count="0"/>
    <cacheHierarchy uniqueName="[Measures].[Above 24 Ratio]" caption="Above 24 Ratio" measure="1" displayFolder="" count="0"/>
    <cacheHierarchy uniqueName="[Measures].[By Admission method Count]" caption="By Admission method Count" measure="1" displayFolder="" count="0"/>
    <cacheHierarchy uniqueName="[Measures].[By Admission method Ratio]" caption="By Admission method Ratio" measure="1" displayFolder="" count="0" oneField="1">
      <fieldsUsage count="1">
        <fieldUsage x="3"/>
      </fieldsUsage>
    </cacheHierarchy>
    <cacheHierarchy uniqueName="[Programs Up 2.5]" caption="Programs Up 2.5" set="1" displayFolder="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D6AF8-345B-4BB4-991C-8E65DB60A33B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R16" firstHeaderRow="1" firstDataRow="2" firstDataCol="1"/>
  <pivotFields count="4"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axis="axisCol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subtotalTop="0" showAll="0" dataSourceSort="1" defaultSubtotal="0" showPropTip="1"/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fld="3" baseField="0" baseItem="0"/>
  </dataFields>
  <pivotHierarchies count="6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2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3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DB6DE-FD98-48B3-B620-7ABDF05B1623}">
  <dimension ref="A1:R16"/>
  <sheetViews>
    <sheetView tabSelected="1" workbookViewId="0"/>
  </sheetViews>
  <sheetFormatPr defaultRowHeight="14.4" x14ac:dyDescent="0.55000000000000004"/>
  <cols>
    <col min="1" max="1" width="23.41796875" bestFit="1" customWidth="1"/>
    <col min="2" max="2" width="14.9453125" bestFit="1" customWidth="1"/>
    <col min="3" max="17" width="7.68359375" bestFit="1" customWidth="1"/>
    <col min="18" max="18" width="9.9453125" bestFit="1" customWidth="1"/>
  </cols>
  <sheetData>
    <row r="1" spans="1:18" x14ac:dyDescent="0.55000000000000004">
      <c r="A1" s="1" t="s">
        <v>26</v>
      </c>
      <c r="B1" s="1" t="s">
        <v>14</v>
      </c>
    </row>
    <row r="2" spans="1:18" x14ac:dyDescent="0.55000000000000004">
      <c r="A2" s="1" t="s">
        <v>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  <c r="P2" t="s">
        <v>24</v>
      </c>
      <c r="Q2" t="s">
        <v>25</v>
      </c>
      <c r="R2" t="s">
        <v>13</v>
      </c>
    </row>
    <row r="3" spans="1:18" x14ac:dyDescent="0.55000000000000004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v>2.7810581010864432E-2</v>
      </c>
      <c r="Q3" s="3">
        <v>4.3245311902028322E-2</v>
      </c>
      <c r="R3" s="3">
        <v>1.4390298153825325E-2</v>
      </c>
    </row>
    <row r="4" spans="1:18" x14ac:dyDescent="0.5500000000000000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v>1.4407179971658007E-2</v>
      </c>
      <c r="Q4" s="3">
        <v>4.2309818429221414E-2</v>
      </c>
      <c r="R4" s="3">
        <v>1.1982244228890845E-2</v>
      </c>
    </row>
    <row r="5" spans="1:18" x14ac:dyDescent="0.55000000000000004">
      <c r="A5" s="2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>
        <v>0.10392090776317267</v>
      </c>
      <c r="N5" s="3">
        <v>5.2084497596959878E-2</v>
      </c>
      <c r="O5" s="3">
        <v>5.858215470577964E-2</v>
      </c>
      <c r="P5" s="3">
        <v>5.8573452999527632E-2</v>
      </c>
      <c r="Q5" s="3">
        <v>7.9687034910915513E-2</v>
      </c>
      <c r="R5" s="3">
        <v>4.7658191735249461E-2</v>
      </c>
    </row>
    <row r="6" spans="1:18" x14ac:dyDescent="0.55000000000000004">
      <c r="A6" s="2" t="s">
        <v>32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>
        <v>1.2756729174639623E-3</v>
      </c>
      <c r="R6" s="3">
        <v>2.9012697890776863E-4</v>
      </c>
    </row>
    <row r="7" spans="1:18" x14ac:dyDescent="0.55000000000000004">
      <c r="A7" s="2" t="s">
        <v>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>
        <v>1.0205383339711698E-3</v>
      </c>
      <c r="R7" s="3">
        <v>2.321015831262149E-4</v>
      </c>
    </row>
    <row r="8" spans="1:18" x14ac:dyDescent="0.55000000000000004">
      <c r="A8" s="2" t="s">
        <v>5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>
        <v>6.2860136196961763E-3</v>
      </c>
      <c r="P8" s="3">
        <v>1.3639584317430327E-2</v>
      </c>
      <c r="Q8" s="3">
        <v>3.7462261342858356E-2</v>
      </c>
      <c r="R8" s="3">
        <v>1.1450344767559935E-2</v>
      </c>
    </row>
    <row r="9" spans="1:18" x14ac:dyDescent="0.55000000000000004">
      <c r="A9" s="2" t="s">
        <v>6</v>
      </c>
      <c r="B9" s="3"/>
      <c r="C9" s="3"/>
      <c r="D9" s="3"/>
      <c r="E9" s="3"/>
      <c r="F9" s="3"/>
      <c r="G9" s="3"/>
      <c r="H9" s="3"/>
      <c r="I9" s="3"/>
      <c r="J9" s="3"/>
      <c r="K9" s="3">
        <v>4.9167168372466388E-2</v>
      </c>
      <c r="L9" s="3">
        <v>5.9407552083333336E-2</v>
      </c>
      <c r="M9" s="3">
        <v>8.4260195483653516E-2</v>
      </c>
      <c r="N9" s="3">
        <v>0.14138817480719795</v>
      </c>
      <c r="O9" s="3">
        <v>0.14335603282696002</v>
      </c>
      <c r="P9" s="3">
        <v>0.11950873878129428</v>
      </c>
      <c r="Q9" s="3">
        <v>9.4654930475826002E-2</v>
      </c>
      <c r="R9" s="3">
        <v>8.2367049311915519E-2</v>
      </c>
    </row>
    <row r="10" spans="1:18" x14ac:dyDescent="0.55000000000000004">
      <c r="A10" s="2" t="s">
        <v>7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>
        <v>4.9882035726322882E-2</v>
      </c>
      <c r="N10" s="3">
        <v>1.788308930367721E-2</v>
      </c>
      <c r="O10" s="3">
        <v>4.0684477038589142E-2</v>
      </c>
      <c r="P10" s="3">
        <v>4.1391119508738784E-2</v>
      </c>
      <c r="Q10" s="3">
        <v>5.2387634477186716E-2</v>
      </c>
      <c r="R10" s="3">
        <v>2.9041710588667641E-2</v>
      </c>
    </row>
    <row r="11" spans="1:18" x14ac:dyDescent="0.55000000000000004">
      <c r="A11" s="2" t="s">
        <v>8</v>
      </c>
      <c r="B11" s="3"/>
      <c r="C11" s="3"/>
      <c r="D11" s="3"/>
      <c r="E11" s="3"/>
      <c r="F11" s="3"/>
      <c r="G11" s="3"/>
      <c r="H11" s="3"/>
      <c r="I11" s="3"/>
      <c r="J11" s="3"/>
      <c r="K11" s="3">
        <v>0.16556291390728478</v>
      </c>
      <c r="L11" s="3">
        <v>0.2783203125</v>
      </c>
      <c r="M11" s="3">
        <v>0.24794966857656442</v>
      </c>
      <c r="N11" s="3">
        <v>0.27148764949144966</v>
      </c>
      <c r="O11" s="3">
        <v>0.31246726034573075</v>
      </c>
      <c r="P11" s="3">
        <v>0.29587860179499292</v>
      </c>
      <c r="Q11" s="3">
        <v>0.22196708763872944</v>
      </c>
      <c r="R11" s="3">
        <v>0.20290513814879646</v>
      </c>
    </row>
    <row r="12" spans="1:18" x14ac:dyDescent="0.55000000000000004">
      <c r="A12" s="2" t="s">
        <v>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>
        <v>3.2552083333333332E-4</v>
      </c>
      <c r="M12" s="3">
        <v>1.5728569823615325E-3</v>
      </c>
      <c r="N12" s="3">
        <v>2.4589247792556166E-3</v>
      </c>
      <c r="O12" s="3">
        <v>8.5559629823642389E-3</v>
      </c>
      <c r="P12" s="3">
        <v>2.0666036844591402E-3</v>
      </c>
      <c r="Q12" s="3">
        <v>9.9927711868010374E-3</v>
      </c>
      <c r="R12" s="3">
        <v>3.9263851145518022E-3</v>
      </c>
    </row>
    <row r="13" spans="1:18" x14ac:dyDescent="0.55000000000000004">
      <c r="A13" s="2" t="s">
        <v>10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0.7852699177202489</v>
      </c>
      <c r="L13" s="3">
        <v>0.66194661458333337</v>
      </c>
      <c r="M13" s="3">
        <v>0.51241433546792492</v>
      </c>
      <c r="N13" s="3">
        <v>0.51469766402145967</v>
      </c>
      <c r="O13" s="3">
        <v>0.43006809848088007</v>
      </c>
      <c r="P13" s="3">
        <v>0.34465044874822864</v>
      </c>
      <c r="Q13" s="3">
        <v>0.32461623506399628</v>
      </c>
      <c r="R13" s="3">
        <v>0.56153109677668922</v>
      </c>
    </row>
    <row r="14" spans="1:18" x14ac:dyDescent="0.55000000000000004">
      <c r="A14" s="2" t="s">
        <v>11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v>5.5444024563060933E-2</v>
      </c>
      <c r="Q14" s="3">
        <v>6.9439129140621683E-2</v>
      </c>
      <c r="R14" s="3">
        <v>2.4873552991692697E-2</v>
      </c>
    </row>
    <row r="15" spans="1:18" x14ac:dyDescent="0.55000000000000004">
      <c r="A15" s="2" t="s">
        <v>12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v>2.6629664619744923E-2</v>
      </c>
      <c r="Q15" s="3">
        <v>2.194157418038015E-2</v>
      </c>
      <c r="R15" s="3">
        <v>9.3517596201270758E-3</v>
      </c>
    </row>
    <row r="16" spans="1:18" x14ac:dyDescent="0.55000000000000004">
      <c r="A16" s="2" t="s">
        <v>13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tmp9FDD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2026-10-14T11:09:12Z</dcterms:created>
  <dcterms:modified xsi:type="dcterms:W3CDTF">2026-10-14T11:09:12Z</dcterms:modified>
</cp:coreProperties>
</file>